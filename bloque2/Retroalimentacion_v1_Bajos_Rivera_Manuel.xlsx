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Rúbrica" sheetId="1" state="visible" r:id="rId1"/>
    <sheet name="Calificació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3864"/>
      <sz val="12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center" vertical="top" wrapText="1"/>
    </xf>
    <xf numFmtId="9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general" vertical="top" wrapText="1"/>
    </xf>
    <xf numFmtId="164" fontId="8" fillId="3" borderId="1" applyAlignment="1" pivotButton="0" quotePrefix="0" xfId="0">
      <alignment horizontal="center" vertical="top" wrapText="1"/>
    </xf>
    <xf numFmtId="9" fontId="8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164" fontId="8" fillId="0" borderId="1" applyAlignment="1" pivotButton="0" quotePrefix="0" xfId="0">
      <alignment horizontal="center" vertical="top" wrapText="1"/>
    </xf>
    <xf numFmtId="1" fontId="8" fillId="0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49" fontId="8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center" vertical="top" wrapText="1"/>
    </xf>
    <xf numFmtId="9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164" fontId="8" fillId="3" borderId="1" applyAlignment="1" pivotButton="0" quotePrefix="0" xfId="0">
      <alignment horizontal="center" vertical="top" wrapText="1"/>
    </xf>
    <xf numFmtId="9" fontId="8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164" fontId="8" fillId="0" borderId="1" applyAlignment="1" pivotButton="0" quotePrefix="0" xfId="0">
      <alignment horizontal="center" vertical="top" wrapText="1"/>
    </xf>
    <xf numFmtId="1" fontId="8" fillId="0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49" fontId="8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5" min="1" max="1"/>
    <col width="42" customWidth="1" style="25" min="2" max="2"/>
    <col width="11" customWidth="1" style="25" min="3" max="3"/>
    <col width="16" customWidth="1" style="25" min="4" max="4"/>
    <col width="95" customWidth="1" style="25" min="5" max="5"/>
  </cols>
  <sheetData>
    <row r="1" ht="17.35" customHeight="1" s="26">
      <c r="A1" s="27" t="inlineStr">
        <is>
          <t>Proyecto 2 · Tópicos avanzados de regresión múltiple (TI3006C) — Rúbrica</t>
        </is>
      </c>
    </row>
    <row r="2" ht="15" customHeight="1" s="26">
      <c r="A2" s="28" t="inlineStr">
        <is>
          <t>Puntos alineados a la rúbrica del proyecto (total 100). Criterios evaluados con base en las soluciones de los Workshops 1 y 2 del Bloque 2.</t>
        </is>
      </c>
    </row>
    <row r="4" ht="23.85" customHeight="1" s="26">
      <c r="A4" s="29" t="inlineStr">
        <is>
          <t>Código</t>
        </is>
      </c>
      <c r="B4" s="29" t="inlineStr">
        <is>
          <t>Parte</t>
        </is>
      </c>
      <c r="C4" s="29" t="inlineStr">
        <is>
          <t>Puntos máximos</t>
        </is>
      </c>
      <c r="D4" s="29" t="inlineStr">
        <is>
          <t>Criterio (SMA0102)</t>
        </is>
      </c>
      <c r="E4" s="29" t="inlineStr">
        <is>
          <t>Qué se evalúa</t>
        </is>
      </c>
    </row>
    <row r="5" ht="84" customHeight="1" s="26">
      <c r="A5" s="30" t="inlineStr">
        <is>
          <t>P1</t>
        </is>
      </c>
      <c r="B5" s="31" t="inlineStr">
        <is>
          <t>Parte 1 · Preparación de datos y entendimiento de la razón</t>
        </is>
      </c>
      <c r="C5" s="30" t="n">
        <v>10</v>
      </c>
      <c r="D5" s="30" t="inlineStr">
        <is>
          <t>Calibración</t>
        </is>
      </c>
      <c r="E5" s="31" t="inlineStr">
        <is>
          <t>Filtro 2024 y merge con usfirms validado (duplicados, sin match) (1.5); muestra de análisis con tabla 'embudo' justificada, excluyendo Finance and Insurance y casos problemáticos (activos/ventas ≤ 0, faltantes) (3); construcción correcta de Y y de las X candidatas (2); estadística descriptiva completa (media, mediana, DE, P1, P5, P95, P99, mín, máx), histograma y distribución por sector, con discusión de extremos: ¿error o empresa real? (2.5); matriz de correlación comentada (1).</t>
        </is>
      </c>
    </row>
    <row r="6" ht="42" customHeight="1" s="26">
      <c r="A6" s="30" t="inlineStr">
        <is>
          <t>P2</t>
        </is>
      </c>
      <c r="B6" s="31" t="inlineStr">
        <is>
          <t>Parte 2 · Diseño del modelo: hipótesis</t>
        </is>
      </c>
      <c r="C6" s="30" t="n">
        <v>7</v>
      </c>
      <c r="D6" s="30" t="inlineStr">
        <is>
          <t>Calibración</t>
        </is>
      </c>
      <c r="E6" s="31" t="inlineStr">
        <is>
          <t>Al menos 2 fuentes citadas y usadas para justificar (2); tabla con ≥5 X: fórmula con columnas del dataset, signo esperado y justificación financiera, sin variables mecánicas (3); hipótesis escrita de interacción y de efecto cuadrático con su razonamiento (2).</t>
        </is>
      </c>
    </row>
    <row r="7" ht="55.5" customHeight="1" s="26">
      <c r="A7" s="30" t="inlineStr">
        <is>
          <t>P3</t>
        </is>
      </c>
      <c r="B7" s="31" t="inlineStr">
        <is>
          <t>Parte 3 · Estimación del modelo</t>
        </is>
      </c>
      <c r="C7" s="30" t="n">
        <v>10</v>
      </c>
      <c r="D7" s="30" t="inlineStr">
        <is>
          <t>Calibración</t>
        </is>
      </c>
      <c r="E7" s="31" t="inlineStr">
        <is>
          <t>Modelo base sólo con X continuas e interpretación breve (2); variable categórica con grupo base explicado y agrupación justificada (2); interacción de la hipótesis (2); efecto cuadrático (1.5); pruebas F conjuntas y tabla comparativa de modelos anidados (R² aj., AIC/BIC) (1.5); ecuaciones de E[Y] para ≥2 grupos (1).</t>
        </is>
      </c>
    </row>
    <row r="8" ht="69.75" customHeight="1" s="26">
      <c r="A8" s="30" t="inlineStr">
        <is>
          <t>P4</t>
        </is>
      </c>
      <c r="B8" s="31" t="inlineStr">
        <is>
          <t>Parte 4 · Diagnóstico del modelo</t>
        </is>
      </c>
      <c r="C8" s="30" t="n">
        <v>10</v>
      </c>
      <c r="D8" s="30" t="inlineStr">
        <is>
          <t>Calibración</t>
        </is>
      </c>
      <c r="E8" s="31" t="inlineStr">
        <is>
          <t>Matriz hat y leverages con álgebra matricial, reglas 2p/n y 3p/n e identificación de empresas, verificado con statsmodels (2.5); residuales estandarizados y studentized deleted residuals (2); DFFITS, distancia de Cook y gráfica leverage vs residual (2); VIF como diagonal de la inversa de la matriz de correlación y centrado si aplica (1.5); gráfica residuales vs ajustados y prueba de Breusch-Pagan interpretada (1.5); tabla resumen de problemas (0.5).</t>
        </is>
      </c>
    </row>
    <row r="9" ht="55.5" customHeight="1" s="26">
      <c r="A9" s="30" t="inlineStr">
        <is>
          <t>P5</t>
        </is>
      </c>
      <c r="B9" s="31" t="inlineStr">
        <is>
          <t>Parte 5 · Corrección de problemas y robustez</t>
        </is>
      </c>
      <c r="C9" s="30" t="n">
        <v>8</v>
      </c>
      <c r="D9" s="30" t="inlineStr">
        <is>
          <t>Calibración</t>
        </is>
      </c>
      <c r="E9" s="31" t="inlineStr">
        <is>
          <t>≥2 estrategias de corrección justificadas (transformación, winsorización, exclusión con criterio explícito, HC3, regresión robusta) (3); re-diagnóstico después de corregir (1.5); tabla y gráfica comparativa de coeficientes con IC 95% entre versiones (2); elección del modelo final con ventajas y desventajas (1.5).</t>
        </is>
      </c>
    </row>
    <row r="10" ht="55.5" customHeight="1" s="26">
      <c r="A10" s="30" t="inlineStr">
        <is>
          <t>P6a</t>
        </is>
      </c>
      <c r="B10" s="31" t="inlineStr">
        <is>
          <t>Parte 6a · Desempeño del modelo</t>
        </is>
      </c>
      <c r="C10" s="30" t="n">
        <v>20</v>
      </c>
      <c r="D10" s="30" t="inlineStr">
        <is>
          <t>Desempeño</t>
        </is>
      </c>
      <c r="E10" s="31" t="inlineStr">
        <is>
          <t>R², R² ajustado, RMSE y MAE del modelo base y final (6); validación cruzada 5-fold correcta: mismas particiones para ambos modelos, métricas en las unidades de Y, transformaciones/winsorización sin fuga de información (8); comparación justa (misma muestra) e inferencia con errores HC3 (6).</t>
        </is>
      </c>
    </row>
    <row r="11" ht="55.5" customHeight="1" s="26">
      <c r="A11" s="30" t="inlineStr">
        <is>
          <t>P6b</t>
        </is>
      </c>
      <c r="B11" s="31" t="inlineStr">
        <is>
          <t>Parte 6b · Interpretación de coeficientes</t>
        </is>
      </c>
      <c r="C11" s="30" t="n">
        <v>15</v>
      </c>
      <c r="D11" s="30" t="inlineStr">
        <is>
          <t>Interpretación</t>
        </is>
      </c>
      <c r="E11" s="31" t="inlineStr">
        <is>
          <t>Signo, magnitud (en unidades útiles para el comité) y significancia con HC3 de cada coeficiente (7); efecto marginal del término cuadrático y punto máximo/mínimo dentro del rango de los datos (3); pendientes por grupo de la interacción y prueba de diferencias (3); contraste con los signos esperados de la Parte 2 (2).</t>
        </is>
      </c>
    </row>
    <row r="12" ht="27.75" customHeight="1" s="26">
      <c r="A12" s="30" t="inlineStr">
        <is>
          <t>P6c</t>
        </is>
      </c>
      <c r="B12" s="31" t="inlineStr">
        <is>
          <t>Parte 6c · Variable con mayor poder explicativo</t>
        </is>
      </c>
      <c r="C12" s="30" t="n">
        <v>5</v>
      </c>
      <c r="D12" s="30" t="inlineStr">
        <is>
          <t>Interpretación</t>
        </is>
      </c>
      <c r="E12" s="31" t="inlineStr">
        <is>
          <t>Coeficientes estandarizados o aporte único al R² (como en la solución del Workshop 1), con justificación (5).</t>
        </is>
      </c>
    </row>
    <row r="13" ht="42" customHeight="1" s="26">
      <c r="A13" s="30" t="inlineStr">
        <is>
          <t>P6d</t>
        </is>
      </c>
      <c r="B13" s="31" t="inlineStr">
        <is>
          <t>Parte 6d · Predicciones</t>
        </is>
      </c>
      <c r="C13" s="30" t="n">
        <v>8</v>
      </c>
      <c r="D13" s="30" t="inlineStr">
        <is>
          <t>Interpretación</t>
        </is>
      </c>
      <c r="E13" s="31" t="inlineStr">
        <is>
          <t>3 empresas reales de distintos sectores/tamaños, al menos una del S&amp;P 500 (2); valor esperado, intervalo de confianza 95% e intervalo de predicción 95% (3); diferencia entre ambos intervalos e interpretación de la empresa frente a lo esperado (3).</t>
        </is>
      </c>
    </row>
    <row r="14" ht="42" customHeight="1" s="26">
      <c r="A14" s="30" t="inlineStr">
        <is>
          <t>P7</t>
        </is>
      </c>
      <c r="B14" s="31" t="inlineStr">
        <is>
          <t>Parte 7 · Conclusiones</t>
        </is>
      </c>
      <c r="C14" s="30" t="n">
        <v>7</v>
      </c>
      <c r="D14" s="30" t="inlineStr">
        <is>
          <t>Interpretación</t>
        </is>
      </c>
      <c r="E14" s="31" t="inlineStr">
        <is>
          <t>Dirigidas al comité (≤1 página): 3 hallazgos principales y su robustez (3); limitaciones (corte transversal, causalidad, variables omitidas, decisiones de limpieza) (2); mejoras propuestas (2).</t>
        </is>
      </c>
    </row>
    <row r="15" ht="15" customHeight="1" s="26">
      <c r="B15" s="32" t="inlineStr">
        <is>
          <t>Total</t>
        </is>
      </c>
      <c r="C15" s="33">
        <f>SUM(C5:C14)</f>
        <v/>
      </c>
    </row>
    <row r="17" ht="13.5" customHeight="1" s="26">
      <c r="A17" s="34" t="inlineStr">
        <is>
          <t>Notas de calificación:</t>
        </is>
      </c>
    </row>
    <row r="18" ht="13.5" customHeight="1" s="26">
      <c r="A18" s="35" t="inlineStr">
        <is>
          <t>• Las partes no entregadas valen 0 puntos. Además se muestra el % logrado sobre los puntos de las partes que sí se entregaron.</t>
        </is>
      </c>
    </row>
    <row r="19" ht="27.75" customHeight="1" s="26">
      <c r="A19" s="35" t="inlineStr">
        <is>
          <t>• Exclusión de empresas con deuda = 0: fue indicada en clase; no se penaliza aplicarla. Si no se aplica, debe justificarse con evidencia; en cualquier caso, documéntala como limitación.</t>
        </is>
      </c>
    </row>
    <row r="20" ht="42" customHeight="1" s="26">
      <c r="A20" s="35" t="inlineStr">
        <is>
          <t>• Criterios clave (soluciones W1/W2): errores HC3; Huber/Tukey como sensibilidad; excluir por Cook &gt; 4/n sólo como sensibilidad; comparar métricas en la MISMA muestra y la MISMA Y; poder explicativo = aporte único al R²; no elegir el modelo sólo por p-values; las conclusiones deben salir de los propios resultados.</t>
        </is>
      </c>
    </row>
  </sheetData>
  <mergeCells count="4">
    <mergeCell ref="A17:E17"/>
    <mergeCell ref="A18:E18"/>
    <mergeCell ref="A20:E20"/>
    <mergeCell ref="A19:E1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28" customWidth="1" style="25" min="2" max="2"/>
    <col width="10" customWidth="1" style="25" min="3" max="4"/>
    <col width="9" customWidth="1" style="25" min="5" max="5"/>
    <col width="14" customWidth="1" style="25" min="6" max="6"/>
    <col width="58" customWidth="1" style="25" min="7" max="7"/>
    <col width="66" customWidth="1" style="25" min="8" max="8"/>
    <col width="70" customWidth="1" style="26" min="9" max="9"/>
  </cols>
  <sheetData>
    <row r="1" ht="17.35" customHeight="1" s="26">
      <c r="A1" s="27" t="inlineStr">
        <is>
          <t>Proyecto 2 · Retroalimentación de la versión 1</t>
        </is>
      </c>
    </row>
    <row r="2" ht="15" customHeight="1" s="26">
      <c r="A2" s="28" t="inlineStr">
        <is>
          <t>Usa esta retroalimentación para mejorar tu proyecto y entregar la versión 2 (final). La v2 se califica con la misma rúbrica (hoja "Rúbrica").</t>
        </is>
      </c>
    </row>
    <row r="4" ht="15" customHeight="1" s="26">
      <c r="A4" s="36" t="inlineStr">
        <is>
          <t>Alumno</t>
        </is>
      </c>
      <c r="B4" s="37" t="inlineStr">
        <is>
          <t>Bajos Rivera, Manuel</t>
        </is>
      </c>
      <c r="C4" s="38" t="n"/>
      <c r="D4" s="38" t="n"/>
      <c r="E4" s="38" t="n"/>
      <c r="F4" s="38" t="n"/>
      <c r="G4" s="39" t="n"/>
    </row>
    <row r="5" ht="15" customHeight="1" s="26">
      <c r="A5" s="36" t="inlineStr">
        <is>
          <t>Matrícula</t>
        </is>
      </c>
      <c r="B5" s="37" t="inlineStr">
        <is>
          <t>A01711581</t>
        </is>
      </c>
      <c r="C5" s="38" t="n"/>
      <c r="D5" s="38" t="n"/>
      <c r="E5" s="38" t="n"/>
      <c r="F5" s="38" t="n"/>
      <c r="G5" s="39" t="n"/>
    </row>
    <row r="6" ht="15" customHeight="1" s="26">
      <c r="A6" s="36" t="inlineStr">
        <is>
          <t>Razón asignada</t>
        </is>
      </c>
      <c r="B6" s="37" t="inlineStr">
        <is>
          <t>#1 Apalancamiento financiero (correcta)</t>
        </is>
      </c>
      <c r="C6" s="38" t="n"/>
      <c r="D6" s="38" t="n"/>
      <c r="E6" s="38" t="n"/>
      <c r="F6" s="38" t="n"/>
      <c r="G6" s="39" t="n"/>
    </row>
    <row r="7" ht="15" customHeight="1" s="26">
      <c r="A7" s="36" t="inlineStr">
        <is>
          <t>Archivo revisado</t>
        </is>
      </c>
      <c r="B7" s="37" t="inlineStr">
        <is>
          <t>Evidencia1_b2_ManuelBajos.ipynb</t>
        </is>
      </c>
      <c r="C7" s="38" t="n"/>
      <c r="D7" s="38" t="n"/>
      <c r="E7" s="38" t="n"/>
      <c r="F7" s="38" t="n"/>
      <c r="G7" s="39" t="n"/>
    </row>
    <row r="9" ht="23.85" customHeight="1" s="26">
      <c r="A9" s="29" t="inlineStr">
        <is>
          <t>Parte</t>
        </is>
      </c>
      <c r="B9" s="29" t="inlineStr">
        <is>
          <t>Descripción</t>
        </is>
      </c>
      <c r="C9" s="29" t="inlineStr">
        <is>
          <t>Puntos obtenidos</t>
        </is>
      </c>
      <c r="D9" s="29" t="inlineStr">
        <is>
          <t>Puntos máximos</t>
        </is>
      </c>
      <c r="E9" s="29" t="inlineStr">
        <is>
          <t>% logrado</t>
        </is>
      </c>
      <c r="F9" s="29" t="inlineStr">
        <is>
          <t>Estado</t>
        </is>
      </c>
      <c r="G9" s="29" t="inlineStr">
        <is>
          <t>Fortalezas</t>
        </is>
      </c>
      <c r="H9" s="29" t="inlineStr">
        <is>
          <t>Qué mejorar para la v2</t>
        </is>
      </c>
      <c r="I9" s="40" t="inlineStr">
        <is>
          <t>Qué se hizo en la v2 para atenderlo</t>
        </is>
      </c>
    </row>
    <row r="10" ht="148.5" customHeight="1" s="26">
      <c r="A10" s="30" t="inlineStr">
        <is>
          <t>P1</t>
        </is>
      </c>
      <c r="B10" s="31" t="inlineStr">
        <is>
          <t>Parte 1 · Preparación de datos y entendimiento de la razón</t>
        </is>
      </c>
      <c r="C10" s="41" t="n">
        <v>10</v>
      </c>
      <c r="D10" s="30" t="n">
        <v>10</v>
      </c>
      <c r="E10" s="42">
        <f>IF(D10=0,0,C10/D10)</f>
        <v/>
      </c>
      <c r="F10" s="43" t="inlineStr">
        <is>
          <t>Entregada</t>
        </is>
      </c>
      <c r="G10" s="31" t="inlineStr">
        <is>
          <t>Es de las mejores partes 1 del grupo. Validaste el merge (validate='one_to_one', indicator=True, 0 sin match), reparaste la doble codificación de nombres y presentaste un embudo claro. Sobre todo, detectaste con EVIDENCIA dos problemas reales del dataset: deuda = 0 en empresas que pagan intereses (Ford, GM, Oracle, Tesla) y 247 empresas con shortdebt = longdebt, en 96 de las cuales la deuda sumada supera a los pasivos totales. Distinguiste bien entre errores de datos y empresas reales extremas (Domino's, Yum!, Bioxcel con capital contable negativo).</t>
        </is>
      </c>
      <c r="H10" s="31" t="inlineStr">
        <is>
          <t>Ninguna corrección necesaria. Tu exclusión de la deuda = 0 coincide con lo indicado en clase y además la respaldas con evidencia (Ford, GM). Como mejora opcional, reporta cuántas de esas 1,305 empresas no pagan intereses (finexp = 0) para describir mejor a la población que queda fuera.</t>
        </is>
      </c>
      <c r="I10" s="44" t="inlineStr">
        <is>
          <t>Sin cambios: era una mejora opcional y no se aplicó en esta versión.</t>
        </is>
      </c>
    </row>
    <row r="11" ht="135" customHeight="1" s="26">
      <c r="A11" s="30" t="inlineStr">
        <is>
          <t>P2</t>
        </is>
      </c>
      <c r="B11" s="31" t="inlineStr">
        <is>
          <t>Parte 2 · Diseño del modelo: hipótesis</t>
        </is>
      </c>
      <c r="C11" s="41" t="n">
        <v>7</v>
      </c>
      <c r="D11" s="30" t="n">
        <v>7</v>
      </c>
      <c r="E11" s="42">
        <f>IF(D11=0,0,C11/D11)</f>
        <v/>
      </c>
      <c r="F11" s="43" t="inlineStr">
        <is>
          <t>Entregada</t>
        </is>
      </c>
      <c r="G11" s="31" t="inlineStr">
        <is>
          <t>Excelente: tres fuentes académicas pertinentes (Rajan y Zingales, 1995; Frank y Goyal, 2009; Faulkender y Petersen, 2006) usadas de verdad para fundamentar cada signo, una tabla completa con fórmula, signo esperado y justificación, y una sección explícita de por qué ninguna X es mecánica (usas ventas y no activos para el tamaño; evitas la Q de Tobin porque incluye la deuda). Las hipótesis de interacción (roa × sp500 como reconciliación entre trade-off y pecking order) y cuadrática (saturación del tamaño) son de nivel muy alto.</t>
        </is>
      </c>
      <c r="H11" s="31" t="inlineStr">
        <is>
          <t>Nada esencial que corregir. Si quieres afinar: aclara que sp500 es una aproximación imperfecta del acceso al mercado de bonos (Faulkender y Petersen usan calificación crediticia).</t>
        </is>
      </c>
      <c r="I11" s="44" t="inlineStr">
        <is>
          <t>Sin cambios: era una mejora opcional y no se aplicó en esta versión.</t>
        </is>
      </c>
    </row>
    <row r="12" ht="94.5" customHeight="1" s="26">
      <c r="A12" s="30" t="inlineStr">
        <is>
          <t>P3</t>
        </is>
      </c>
      <c r="B12" s="31" t="inlineStr">
        <is>
          <t>Parte 3 · Estimación del modelo</t>
        </is>
      </c>
      <c r="C12" s="41" t="n">
        <v>10</v>
      </c>
      <c r="D12" s="30" t="n">
        <v>10</v>
      </c>
      <c r="E12" s="42">
        <f>IF(D12=0,0,C12/D12)</f>
        <v/>
      </c>
      <c r="F12" s="43" t="inlineStr">
        <is>
          <t>Entregada</t>
        </is>
      </c>
      <c r="G12" s="31" t="inlineStr">
        <is>
          <t>Construcción progresiva impecable (M1 → M2 → M3 → M4), pruebas F conjuntas para cada bloque, incluida la del efecto total del tamaño (lineal + cuadrático), tabla con R² ajustado, AIC y BIC, y una lectura honesta de que el BIC no favorece a las dummies de sector. Explicas bien el grupo base y escribes las ecuaciones para cuatro grupos mostrando cómo cambian intercepto y pendiente.</t>
        </is>
      </c>
      <c r="H12" s="31" t="inlineStr">
        <is>
          <t>Ninguna corrección necesaria.</t>
        </is>
      </c>
      <c r="I12" s="44" t="inlineStr">
        <is>
          <t>Sin cambios: la retroalimentación no pedía corrección.</t>
        </is>
      </c>
    </row>
    <row r="13" ht="148.5" customHeight="1" s="26">
      <c r="A13" s="30" t="inlineStr">
        <is>
          <t>P4</t>
        </is>
      </c>
      <c r="B13" s="31" t="inlineStr">
        <is>
          <t>Parte 4 · Diagnóstico del modelo</t>
        </is>
      </c>
      <c r="C13" s="41" t="n">
        <v>10</v>
      </c>
      <c r="D13" s="30" t="n">
        <v>10</v>
      </c>
      <c r="E13" s="42">
        <f>IF(D13=0,0,C13/D13)</f>
        <v/>
      </c>
      <c r="F13" s="43" t="inlineStr">
        <is>
          <t>Entregada</t>
        </is>
      </c>
      <c r="G13" s="31" t="inlineStr">
        <is>
          <t>Diagnóstico completo con álgebra matricial (β, H, h_ii, residuales internos y externos, DFFITS, Cook), verificado contra statsmodels con diferencias del orden de 1e-12 y la comprobación traza(H) = p. Identificas qué empresas son y POR QUÉ tienen leverage alto (la interacción concentra la variación en las 242 empresas del S&amp;P 500). El VIF como diagonal de R⁻¹, con el diagnóstico de multicolinealidad estructural (VIF = 118) y su solución por centrado, es exactamente lo que vimos en el Workshop 2. Breusch-Pagan bien interpretado, incluida la heterocedasticidad propia de una variable acotada en cero.</t>
        </is>
      </c>
      <c r="H13" s="31" t="inlineStr">
        <is>
          <t>Ninguna corrección necesaria.</t>
        </is>
      </c>
      <c r="I13" s="44" t="inlineStr">
        <is>
          <t>Sin cambios: la retroalimentación no pedía corrección.</t>
        </is>
      </c>
    </row>
    <row r="14" ht="135" customHeight="1" s="26">
      <c r="A14" s="30" t="inlineStr">
        <is>
          <t>P5</t>
        </is>
      </c>
      <c r="B14" s="31" t="inlineStr">
        <is>
          <t>Parte 5 · Corrección de problemas y robustez</t>
        </is>
      </c>
      <c r="C14" s="41" t="n">
        <v>8</v>
      </c>
      <c r="D14" s="30" t="n">
        <v>8</v>
      </c>
      <c r="E14" s="42">
        <f>IF(D14=0,0,C14/D14)</f>
        <v/>
      </c>
      <c r="F14" s="43" t="inlineStr">
        <is>
          <t>Entregada</t>
        </is>
      </c>
      <c r="G14" s="31" t="inlineStr">
        <is>
          <t>Estrategias bien justificadas (winsorización 1–99, HC3, Tukey sobre datos originales como prueba independiente), re-diagnóstico explicado con madurez (por qué el número de outliers sube cuando baja el MSE), tabla y gráfica de coeficientes con IC 95%, y un análisis muy claro de qué se mantiene y qué cambia (la magnitud de la interacción: 1.16 → 0.70 → 0.38). La elección del modelo final está argumentada con ventajas y desventajas y responde la pregunta del comité (empresa promedio vs típica).</t>
        </is>
      </c>
      <c r="H14" s="31" t="inlineStr">
        <is>
          <t>Opcional: agrega una versión con Huber o con exclusión de Cook &gt; 4/n sólo como sensibilidad, como en la solución del Workshop 2.</t>
        </is>
      </c>
      <c r="I14" s="44" t="inlineStr">
        <is>
          <t>Sin cambios: era una mejora opcional y no se aplicó en esta versión.</t>
        </is>
      </c>
    </row>
    <row r="15" ht="150" customHeight="1" s="26">
      <c r="A15" s="30" t="inlineStr">
        <is>
          <t>P6a</t>
        </is>
      </c>
      <c r="B15" s="31" t="inlineStr">
        <is>
          <t>Parte 6a · Desempeño del modelo</t>
        </is>
      </c>
      <c r="C15" s="41" t="n">
        <v>19</v>
      </c>
      <c r="D15" s="30" t="n">
        <v>20</v>
      </c>
      <c r="E15" s="42">
        <f>IF(D15=0,0,C15/D15)</f>
        <v/>
      </c>
      <c r="F15" s="43" t="inlineStr">
        <is>
          <t>Entregada</t>
        </is>
      </c>
      <c r="G15" s="31" t="inlineStr">
        <is>
          <t>Comparación justa del base y el final sobre la MISMA muestra winsorizada, con R², R² ajustado, RMSE, MAE y prueba F. La validación cruzada calcula los límites de winsorización sólo con el set de entrenamiento de cada partición (sin fuga de información) y usas la misma semilla para ambos modelos. Muy buena lectura de que la mejora es real pero modesta y de que no hay sobreajuste.</t>
        </is>
      </c>
      <c r="H15" s="31" t="inlineStr">
        <is>
          <t>En la validación cruzada mides el error contra la Y de validación YA winsorizada (val[Y]). Para que el RMSE/MAE responda '¿qué tan bien predigo el apalancamiento real?', calcula el error contra la Y original de las empresas de validación (o reporta ambas versiones).</t>
        </is>
      </c>
      <c r="I15" s="44" t="inlineStr">
        <is>
          <t>Atendido. En la función validacion_cruzada (Parte 6.1) el error de cada partición ahora se calcula contra la Y ORIGINAL de las empresas de validación (df.iloc[te][Y] − predicción); los límites de winsorización siguen saliendo sólo del set de entrenamiento y la semilla es la misma para ambos modelos. Reporto ambas versiones: contra Y original RMSE 0.229 (final) vs 0.235 (base) y MAE 0.155 vs 0.160; contra Y winsorizada 0.198 vs 0.203 y 0.150 vs 0.154. Se agregó la lectura: el error real es ~3 pp mayor que el que daba la Y winsorizada, la mejora del modelo final sigue siendo modesta (2.5% en RMSE) y no hay sobreajuste.</t>
        </is>
      </c>
    </row>
    <row r="16" ht="108" customHeight="1" s="26">
      <c r="A16" s="30" t="inlineStr">
        <is>
          <t>P6b</t>
        </is>
      </c>
      <c r="B16" s="31" t="inlineStr">
        <is>
          <t>Parte 6b · Interpretación de coeficientes</t>
        </is>
      </c>
      <c r="C16" s="41" t="n">
        <v>15</v>
      </c>
      <c r="D16" s="30" t="n">
        <v>15</v>
      </c>
      <c r="E16" s="42">
        <f>IF(D16=0,0,C16/D16)</f>
        <v/>
      </c>
      <c r="F16" s="43" t="inlineStr">
        <is>
          <t>Entregada</t>
        </is>
      </c>
      <c r="G16" s="31" t="inlineStr">
        <is>
          <t>Interpretación coeficiente por coeficiente en puntos porcentuales y con HC3; efecto marginal del tamaño en varios percentiles con su error estándar, punto máximo dentro del rango y la lectura de saturación vs reversión; pendientes por grupo con t_test y la prueba de su diferencia; tabla de signos esperados vs obtenidos con tres explicaciones razonadas para la tangibilidad. Es la mejor interpretación que revisé.</t>
        </is>
      </c>
      <c r="H16" s="31" t="inlineStr">
        <is>
          <t>Ninguna corrección necesaria.</t>
        </is>
      </c>
      <c r="I16" s="44" t="inlineStr">
        <is>
          <t>Sin cambios: la retroalimentación no pedía corrección.</t>
        </is>
      </c>
    </row>
    <row r="17" ht="150" customHeight="1" s="26">
      <c r="A17" s="30" t="inlineStr">
        <is>
          <t>P6c</t>
        </is>
      </c>
      <c r="B17" s="31" t="inlineStr">
        <is>
          <t>Parte 6c · Variable con mayor poder explicativo</t>
        </is>
      </c>
      <c r="C17" s="41" t="n">
        <v>4.5</v>
      </c>
      <c r="D17" s="30" t="n">
        <v>5</v>
      </c>
      <c r="E17" s="42">
        <f>IF(D17=0,0,C17/D17)</f>
        <v/>
      </c>
      <c r="F17" s="43" t="inlineStr">
        <is>
          <t>Entregada</t>
        </is>
      </c>
      <c r="G17" s="31" t="inlineStr">
        <is>
          <t>Coeficientes estandarizados bien calculados e interpretados con prudencia (ningún término domina; el R² total es bajo).</t>
        </is>
      </c>
      <c r="H17" s="31" t="inlineStr">
        <is>
          <t>El coeficiente estandarizado de un término de interacción o de un cuadrado no es interpretable por separado. Complementa con el aporte único al R² por BLOQUE de variables (por ejemplo, quitar roa y roa:sp500 juntos, o lventas_c y su cuadrado juntos), como en la solución del Workshop 1.</t>
        </is>
      </c>
      <c r="I17" s="44" t="inlineStr">
        <is>
          <t>Atendido. Se mantienen los coeficientes estandarizados pero se aclara que los términos de interacción y cuadrados no se interpretan por separado. Se agregó el aporte único al R² por BLOQUE (R² del modelo final menos R² sin el bloque, misma muestra winsorizada, con prueba F del bloque): Sector 4.7 pp, Rentabilidad (roa + roa:sp500) 3.0 pp, Tamaño (lventas_c + cuadrado) 2.3 pp, S&amp;P 500 2.0 pp, Valuación 0.6 pp, Tangibilidad 0.03 pp (p = 0.53). Conclusión actualizada: la rentabilidad es el concepto individual con mayor poder explicativo entre las variables económicas, seguida de tamaño y valuación; el sector como bloque completo la supera en aporte total pero con 10 parámetros.</t>
        </is>
      </c>
    </row>
    <row r="18" ht="81" customHeight="1" s="26">
      <c r="A18" s="30" t="inlineStr">
        <is>
          <t>P6d</t>
        </is>
      </c>
      <c r="B18" s="31" t="inlineStr">
        <is>
          <t>Parte 6d · Predicciones</t>
        </is>
      </c>
      <c r="C18" s="41" t="n">
        <v>8</v>
      </c>
      <c r="D18" s="30" t="n">
        <v>8</v>
      </c>
      <c r="E18" s="42">
        <f>IF(D18=0,0,C18/D18)</f>
        <v/>
      </c>
      <c r="F18" s="43" t="inlineStr">
        <is>
          <t>Entregada</t>
        </is>
      </c>
      <c r="G18" s="31" t="inlineStr">
        <is>
          <t>Tres empresas bien elegidas (Apple del S&amp;P 500, una utility mediana y una franquiciadora), IC y PI correctamente obtenidos, explicación clara de la diferencia entre ambos intervalos y una interpretación económica de cada residuo (capital contable negativo de Papa John's, política financiera de Apple).</t>
        </is>
      </c>
      <c r="H18" s="31" t="inlineStr">
        <is>
          <t>Ninguna corrección necesaria. Detalle: menciona que el PI supone varianza constante, que no se cumple (ya lo notas en la Parte 5).</t>
        </is>
      </c>
      <c r="I18" s="44" t="inlineStr">
        <is>
          <t>Sin cambios: era una mejora opcional y no se aplicó en esta versión.</t>
        </is>
      </c>
    </row>
    <row r="19" ht="150" customHeight="1" s="26">
      <c r="A19" s="30" t="inlineStr">
        <is>
          <t>P7</t>
        </is>
      </c>
      <c r="B19" s="31" t="inlineStr">
        <is>
          <t>Parte 7 · Conclusiones</t>
        </is>
      </c>
      <c r="C19" s="41" t="n">
        <v>6.5</v>
      </c>
      <c r="D19" s="30" t="n">
        <v>7</v>
      </c>
      <c r="E19" s="42">
        <f>IF(D19=0,0,C19/D19)</f>
        <v/>
      </c>
      <c r="F19" s="43" t="inlineStr">
        <is>
          <t>Entregada</t>
        </is>
      </c>
      <c r="G19" s="31" t="inlineStr">
        <is>
          <t>Conclusión ejecutiva clara, con tres hallazgos cuantificados, su robustez, lo que no se encontró, limitaciones bien identificadas y mejoras concretas (modelo en dos partes, panel, regresión fraccional).</t>
        </is>
      </c>
      <c r="H19" s="31" t="inlineStr">
        <is>
          <t>Excede la página que pedía el enunciado. Para el comité, condensa las limitaciones y las mejoras en 3–4 viñetas cada una.</t>
        </is>
      </c>
      <c r="I19" s="44" t="inlineStr">
        <is>
          <t>Atendido. Las Limitaciones se condensaron de 6 a 4 viñetas (calidad y selección de datos; asociación vs causalidad; un solo año; variables omitidas y deuda en libros) y las mejoras de 5 a 4 viñetas (datos confiables y modelo en dos partes; panel con efectos fijos; más variables; regresión fraccional o cuantílica), cada una en una o dos líneas. Los hallazgos y su robustez no cambiaron.</t>
        </is>
      </c>
    </row>
    <row r="20" ht="15" customHeight="1" s="26">
      <c r="A20" s="33" t="inlineStr">
        <is>
          <t>Total</t>
        </is>
      </c>
      <c r="B20" s="45" t="inlineStr">
        <is>
          <t>Calificación v1 (sobre 100)</t>
        </is>
      </c>
      <c r="C20" s="46">
        <f>SUM(C10:C19)</f>
        <v/>
      </c>
      <c r="D20" s="33">
        <f>SUM(D10:D19)</f>
        <v/>
      </c>
      <c r="E20" s="47">
        <f>C20/D20</f>
        <v/>
      </c>
      <c r="F20" s="48" t="n"/>
      <c r="G20" s="48" t="n"/>
      <c r="H20" s="48" t="n"/>
    </row>
    <row r="22" ht="15" customHeight="1" s="26">
      <c r="A22" s="36" t="inlineStr">
        <is>
          <t>Calificación v1 (partes no entregadas = 0)</t>
        </is>
      </c>
      <c r="B22" s="39" t="n"/>
      <c r="C22" s="49">
        <f>C20</f>
        <v/>
      </c>
    </row>
    <row r="23" ht="15" customHeight="1" s="26">
      <c r="A23" s="36" t="inlineStr">
        <is>
          <t>Puntos posibles de las partes entregadas</t>
        </is>
      </c>
      <c r="B23" s="39" t="n"/>
      <c r="C23" s="50">
        <f>SUMPRODUCT((LEFT(F10:F19,2)&lt;&gt;"No")*D10:D19)</f>
        <v/>
      </c>
    </row>
    <row r="24" ht="15" customHeight="1" s="26">
      <c r="A24" s="36" t="inlineStr">
        <is>
          <t>% logrado sobre lo entregado</t>
        </is>
      </c>
      <c r="B24" s="39" t="n"/>
      <c r="C24" s="51">
        <f>IF(C23=0,0,C20/C23)</f>
        <v/>
      </c>
    </row>
    <row r="25" ht="15" customHeight="1" s="26">
      <c r="A25" s="36" t="inlineStr">
        <is>
          <t>Partes entregadas (completas o parciales)</t>
        </is>
      </c>
      <c r="B25" s="39" t="n"/>
      <c r="C25" s="52">
        <f>SUMPRODUCT(--(LEFT(F10:F19,2)&lt;&gt;"No"))&amp;" de 10"</f>
        <v/>
      </c>
    </row>
    <row r="27" ht="15" customHeight="1" s="26">
      <c r="A27" s="53" t="inlineStr">
        <is>
          <t>Retroalimentación general</t>
        </is>
      </c>
    </row>
    <row r="28" ht="69.75" customHeight="1" s="26">
      <c r="A28" s="35" t="inlineStr">
        <is>
          <t>Manuel, es un proyecto sobresaliente y de los más completos del grupo: cada decisión está justificada con evidencia de los datos o de la literatura, el diagnóstico está verificado y la interpretación es honesta (reconoces que el R² es bajo y que la magnitud de la interacción depende de pocas empresas). Para la v2, calcula el error de la validación cruzada contra la Y original y complementa la Parte 6c con el aporte único al R² por bloques. Declaraste el uso de un asistente de IA para código y formato; recuerda que en la revisión podré pedirte que expliques cualquier decisión o línea de código.</t>
        </is>
      </c>
    </row>
    <row r="30" ht="15" customHeight="1" s="26">
      <c r="A30" s="28" t="inlineStr">
        <is>
          <t>Leyenda de "Estado": verde = entregada; amarillo = entregada parcialmente; naranja = no entregada (0 puntos).</t>
        </is>
      </c>
    </row>
  </sheetData>
  <mergeCells count="10">
    <mergeCell ref="A24:B24"/>
    <mergeCell ref="A30:H30"/>
    <mergeCell ref="A22:B22"/>
    <mergeCell ref="B5:G5"/>
    <mergeCell ref="A25:B25"/>
    <mergeCell ref="A28:H28"/>
    <mergeCell ref="B4:G4"/>
    <mergeCell ref="A23:B23"/>
    <mergeCell ref="B7:G7"/>
    <mergeCell ref="B6:G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2026-10-13T19:38:34Z</dcterms:created>
  <dcterms:modified xsi:type="dcterms:W3CDTF">2026-10-22T16:12:03Z</dcterms:modified>
  <cp:revision>0</cp:revision>
</cp:coreProperties>
</file>